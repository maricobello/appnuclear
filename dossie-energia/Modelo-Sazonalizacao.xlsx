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emissas" sheetId="1" state="visible" r:id="rId3"/>
    <sheet name="Simulacao" sheetId="2" state="visible" r:id="rId4"/>
    <sheet name="Cenarios_PL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<sst xmlns="http://schemas.openxmlformats.org/spreadsheetml/2006/main" count="53" uniqueCount="40">
  <si>
    <t xml:space="preserve">Modelo de Sazonalizacao - premissas (celulas amarelas = entradas, valores ficticios)</t>
  </si>
  <si>
    <t xml:space="preserve">Preco do contrato (R$/MWh)</t>
  </si>
  <si>
    <t xml:space="preserve">Flex mensal (+/- %)</t>
  </si>
  <si>
    <t xml:space="preserve">Limiar de PLD para sobrecontratar (R$/MWh)</t>
  </si>
  <si>
    <t xml:space="preserve">Leitura: custo = SOMA[ C x P + (Q - C) x PLD ]. Resultado da sazonalizacao = SOMA[(Q-C) x (PLD-P)].</t>
  </si>
  <si>
    <t xml:space="preserve">Mes</t>
  </si>
  <si>
    <t xml:space="preserve">Horas</t>
  </si>
  <si>
    <t xml:space="preserve">Consumo (MWm)</t>
  </si>
  <si>
    <t xml:space="preserve">Consumo Q (MWh)</t>
  </si>
  <si>
    <t xml:space="preserve">PLD cenario (R$/MWh)</t>
  </si>
  <si>
    <t xml:space="preserve">A) C = consumo (MWh)</t>
  </si>
  <si>
    <t xml:space="preserve">B) Flat (MWh)</t>
  </si>
  <si>
    <t xml:space="preserve">C) Estrategica (MWh)</t>
  </si>
  <si>
    <t xml:space="preserve">Custo A (R$)</t>
  </si>
  <si>
    <t xml:space="preserve">Custo B (R$)</t>
  </si>
  <si>
    <t xml:space="preserve">Custo C (R$)</t>
  </si>
  <si>
    <t xml:space="preserve">Desvio C vs Q (%)</t>
  </si>
  <si>
    <t xml:space="preserve">Dentro da flex?</t>
  </si>
  <si>
    <t xml:space="preserve">Jan</t>
  </si>
  <si>
    <t xml:space="preserve">Fator p/ meses abaixo do limiar: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</si>
  <si>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</si>
  <si>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</si>
  <si>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</si>
  <si>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</si>
  <si>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</si>
  <si>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</si>
  <si>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</si>
  <si>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</si>
  <si>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</si>
  <si>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</si>
  <si>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</si>
  <si>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Total/Media</t>
  </si>
  <si>
    <t xml:space="preserve">Custo medio (R$/MWh)</t>
  </si>
  <si>
    <t xml:space="preserve">Diferenca vs A (R$/ano)</t>
  </si>
  <si>
    <t xml:space="preserve">Troque a coluna E (PLD) para testar cenarios. Veja se a coluna M acusa FORA DA FLEX.</t>
  </si>
  <si>
    <t xml:space="preserve">Cenarios de PLD para copiar na coluna E da aba Simulacao (R$/MWh, ficticios)</t>
  </si>
  <si>
    <t xml:space="preserve">Base</t>
  </si>
  <si>
    <t xml:space="preserve">Umido</t>
  </si>
  <si>
    <t xml:space="preserve">Seco extremo</t>
  </si>
  <si>
    <t xml:space="preserve">Adverso (invertido)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</si>
</sst>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"/>
    <numFmt numFmtId="167" formatCode="0.0%"/>
    <numFmt numFmtId="168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0B3C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C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v>260</v>
      </c>
    </row>
    <row r="4" customFormat="false" ht="15" hidden="false" customHeight="false" outlineLevel="0" collapsed="false">
      <c r="A4" s="0" t="s">
        <v>2</v>
      </c>
      <c r="B4" s="3" t="n">
        <v>0.1</v>
      </c>
    </row>
    <row r="5" customFormat="false" ht="15" hidden="false" customHeight="false" outlineLevel="0" collapsed="false">
      <c r="A5" s="0" t="s">
        <v>3</v>
      </c>
      <c r="B5" s="0" t="n">
        <f aca="false">B3</f>
        <v>260</v>
      </c>
    </row>
    <row r="7" customFormat="false" ht="15" hidden="false" customHeight="false" outlineLevel="0" collapsed="false">
      <c r="A7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8" min="4" style="0" width="14"/>
    <col collapsed="false" customWidth="true" hidden="false" outlineLevel="0" max="11" min="9" style="0" width="16"/>
    <col collapsed="false" customWidth="true" hidden="false" outlineLevel="0" max="12" min="12" style="0" width="12"/>
    <col collapsed="false" customWidth="true" hidden="false" outlineLevel="0" max="13" min="13" style="0" width="16"/>
  </cols>
  <sheetData>
    <row r="1" customFormat="false" ht="45" hidden="false" customHeight="true" outlineLevel="0" collapsed="false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</row>
    <row r="2" customFormat="false" ht="15" hidden="false" customHeight="false" outlineLevel="0" collapsed="false">
      <c r="A2" s="0" t="s">
        <v>18</v>
      </c>
      <c r="B2" s="2" t="n">
        <v>744</v>
      </c>
      <c r="C2" s="2" t="n">
        <v>10.8</v>
      </c>
      <c r="D2" s="5" t="n">
        <f aca="false">B2*C2</f>
        <v>8035.2</v>
      </c>
      <c r="E2" s="2" t="n">
        <v>90</v>
      </c>
      <c r="F2" s="5" t="n">
        <f aca="false">D2</f>
        <v>8035.2</v>
      </c>
      <c r="G2" s="5" t="n">
        <f aca="false">$D$14/$B$14*B2</f>
        <v>7640.16657534247</v>
      </c>
      <c r="H2" s="5" t="n">
        <f aca="false">D2*IF(E2&gt;Premissas!$B$5,1+Premissas!$B$4,$P$2)</f>
        <v>7657.26948062137</v>
      </c>
      <c r="I2" s="5" t="n">
        <f aca="false">F2*Premissas!$B$3+(D2-F2)*E2</f>
        <v>2089152</v>
      </c>
      <c r="J2" s="5" t="n">
        <f aca="false">G2*Premissas!$B$3+(D2-G2)*E2</f>
        <v>2021996.31780822</v>
      </c>
      <c r="K2" s="5" t="n">
        <f aca="false">H2*Premissas!$B$3+(D2-H2)*E2</f>
        <v>2024903.81170563</v>
      </c>
      <c r="L2" s="6" t="n">
        <f aca="false">H2/D2-1</f>
        <v>-0.0470343637219521</v>
      </c>
      <c r="M2" s="0" t="str">
        <f aca="false">IF(ABS(L2)&lt;=Premissas!$B$4+0.00001,"OK","FORA DA FLEX")</f>
        <v>OK</v>
      </c>
      <c r="O2" s="7" t="s">
        <v>19</v>
      </c>
      <c r="P2" s="8" t="n">
        <f aca="false">(D14-(1+Premissas!B4)*SUMIF(E2:E13,"&gt;"&amp;Premissas!B5,D2:D13))/SUMIF(E2:E13,"&lt;="&amp;Premissas!B5,D2:D13)</f>
        <v>0.952965636278048</v>
      </c>
    </row>
    <row r="3" customFormat="false" ht="15" hidden="false" customHeight="false" outlineLevel="0" collapsed="false">
      <c r="A3" s="0" t="s">
        <v>20</v>
      </c>
      <c r="B3" s="2" t="n">
        <v>672</v>
      </c>
      <c r="C3" s="2" t="n">
        <v>11.2</v>
      </c>
      <c r="D3" s="5" t="n">
        <f aca="false">B3*C3</f>
        <v>7526.4</v>
      </c>
      <c r="E3" s="2" t="n">
        <v>80</v>
      </c>
      <c r="F3" s="5" t="n">
        <f aca="false">D3</f>
        <v>7526.4</v>
      </c>
      <c r="G3" s="5" t="n">
        <f aca="false">$D$14/$B$14*B3</f>
        <v>6900.79561643836</v>
      </c>
      <c r="H3" s="5" t="n">
        <f aca="false">D3*IF(E3&gt;Premissas!$B$5,1+Premissas!$B$4,$P$2)</f>
        <v>7172.4005648831</v>
      </c>
      <c r="I3" s="5" t="n">
        <f aca="false">F3*Premissas!$B$3+(D3-F3)*E3</f>
        <v>1956864</v>
      </c>
      <c r="J3" s="5" t="n">
        <f aca="false">G3*Premissas!$B$3+(D3-G3)*E3</f>
        <v>1844255.2109589</v>
      </c>
      <c r="K3" s="5" t="n">
        <f aca="false">H3*Premissas!$B$3+(D3-H3)*E3</f>
        <v>1893144.10167896</v>
      </c>
      <c r="L3" s="6" t="n">
        <f aca="false">H3/D3-1</f>
        <v>-0.0470343637219521</v>
      </c>
      <c r="M3" s="0" t="str">
        <f aca="false">IF(ABS(L3)&lt;=Premissas!$B$4+0.00001,"OK","FORA DA FLEX")</f>
        <v>OK</v>
      </c>
    </row>
    <row r="4" customFormat="false" ht="15" hidden="false" customHeight="false" outlineLevel="0" collapsed="false">
      <c r="A4" s="0" t="s">
        <v>21</v>
      </c>
      <c r="B4" s="2" t="n">
        <v>744</v>
      </c>
      <c r="C4" s="2" t="n">
        <v>11</v>
      </c>
      <c r="D4" s="5" t="n">
        <f aca="false">B4*C4</f>
        <v>8184</v>
      </c>
      <c r="E4" s="2" t="n">
        <v>85</v>
      </c>
      <c r="F4" s="5" t="n">
        <f aca="false">D4</f>
        <v>8184</v>
      </c>
      <c r="G4" s="5" t="n">
        <f aca="false">$D$14/$B$14*B4</f>
        <v>7640.16657534247</v>
      </c>
      <c r="H4" s="5" t="n">
        <f aca="false">D4*IF(E4&gt;Premissas!$B$5,1+Premissas!$B$4,$P$2)</f>
        <v>7799.07076729954</v>
      </c>
      <c r="I4" s="5" t="n">
        <f aca="false">F4*Premissas!$B$3+(D4-F4)*E4</f>
        <v>2127840</v>
      </c>
      <c r="J4" s="5" t="n">
        <f aca="false">G4*Premissas!$B$3+(D4-G4)*E4</f>
        <v>2032669.15068493</v>
      </c>
      <c r="K4" s="5" t="n">
        <f aca="false">H4*Premissas!$B$3+(D4-H4)*E4</f>
        <v>2060477.38427742</v>
      </c>
      <c r="L4" s="6" t="n">
        <f aca="false">H4/D4-1</f>
        <v>-0.0470343637219521</v>
      </c>
      <c r="M4" s="0" t="str">
        <f aca="false">IF(ABS(L4)&lt;=Premissas!$B$4+0.00001,"OK","FORA DA FLEX")</f>
        <v>OK</v>
      </c>
    </row>
    <row r="5" customFormat="false" ht="15" hidden="false" customHeight="false" outlineLevel="0" collapsed="false">
      <c r="A5" s="0" t="s">
        <v>22</v>
      </c>
      <c r="B5" s="2" t="n">
        <v>720</v>
      </c>
      <c r="C5" s="2" t="n">
        <v>10.4</v>
      </c>
      <c r="D5" s="5" t="n">
        <f aca="false">B5*C5</f>
        <v>7488</v>
      </c>
      <c r="E5" s="2" t="n">
        <v>110</v>
      </c>
      <c r="F5" s="5" t="n">
        <f aca="false">D5</f>
        <v>7488</v>
      </c>
      <c r="G5" s="5" t="n">
        <f aca="false">$D$14/$B$14*B5</f>
        <v>7393.7095890411</v>
      </c>
      <c r="H5" s="5" t="n">
        <f aca="false">D5*IF(E5&gt;Premissas!$B$5,1+Premissas!$B$4,$P$2)</f>
        <v>7135.80668445002</v>
      </c>
      <c r="I5" s="5" t="n">
        <f aca="false">F5*Premissas!$B$3+(D5-F5)*E5</f>
        <v>1946880</v>
      </c>
      <c r="J5" s="5" t="n">
        <f aca="false">G5*Premissas!$B$3+(D5-G5)*E5</f>
        <v>1932736.43835616</v>
      </c>
      <c r="K5" s="5" t="n">
        <f aca="false">H5*Premissas!$B$3+(D5-H5)*E5</f>
        <v>1894051.0026675</v>
      </c>
      <c r="L5" s="6" t="n">
        <f aca="false">H5/D5-1</f>
        <v>-0.0470343637219521</v>
      </c>
      <c r="M5" s="0" t="str">
        <f aca="false">IF(ABS(L5)&lt;=Premissas!$B$4+0.00001,"OK","FORA DA FLEX")</f>
        <v>OK</v>
      </c>
    </row>
    <row r="6" customFormat="false" ht="15" hidden="false" customHeight="false" outlineLevel="0" collapsed="false">
      <c r="A6" s="0" t="s">
        <v>23</v>
      </c>
      <c r="B6" s="2" t="n">
        <v>744</v>
      </c>
      <c r="C6" s="2" t="n">
        <v>9.8</v>
      </c>
      <c r="D6" s="5" t="n">
        <f aca="false">B6*C6</f>
        <v>7291.2</v>
      </c>
      <c r="E6" s="2" t="n">
        <v>150</v>
      </c>
      <c r="F6" s="5" t="n">
        <f aca="false">D6</f>
        <v>7291.2</v>
      </c>
      <c r="G6" s="5" t="n">
        <f aca="false">$D$14/$B$14*B6</f>
        <v>7640.16657534247</v>
      </c>
      <c r="H6" s="5" t="n">
        <f aca="false">D6*IF(E6&gt;Premissas!$B$5,1+Premissas!$B$4,$P$2)</f>
        <v>6948.2630472305</v>
      </c>
      <c r="I6" s="5" t="n">
        <f aca="false">F6*Premissas!$B$3+(D6-F6)*E6</f>
        <v>1895712</v>
      </c>
      <c r="J6" s="5" t="n">
        <f aca="false">G6*Premissas!$B$3+(D6-G6)*E6</f>
        <v>1934098.32328767</v>
      </c>
      <c r="K6" s="5" t="n">
        <f aca="false">H6*Premissas!$B$3+(D6-H6)*E6</f>
        <v>1857988.93519536</v>
      </c>
      <c r="L6" s="6" t="n">
        <f aca="false">H6/D6-1</f>
        <v>-0.0470343637219521</v>
      </c>
      <c r="M6" s="0" t="str">
        <f aca="false">IF(ABS(L6)&lt;=Premissas!$B$4+0.00001,"OK","FORA DA FLEX")</f>
        <v>OK</v>
      </c>
    </row>
    <row r="7" customFormat="false" ht="15" hidden="false" customHeight="false" outlineLevel="0" collapsed="false">
      <c r="A7" s="0" t="s">
        <v>24</v>
      </c>
      <c r="B7" s="2" t="n">
        <v>720</v>
      </c>
      <c r="C7" s="2" t="n">
        <v>9.2</v>
      </c>
      <c r="D7" s="5" t="n">
        <f aca="false">B7*C7</f>
        <v>6624</v>
      </c>
      <c r="E7" s="2" t="n">
        <v>220</v>
      </c>
      <c r="F7" s="5" t="n">
        <f aca="false">D7</f>
        <v>6624</v>
      </c>
      <c r="G7" s="5" t="n">
        <f aca="false">$D$14/$B$14*B7</f>
        <v>7393.7095890411</v>
      </c>
      <c r="H7" s="5" t="n">
        <f aca="false">D7*IF(E7&gt;Premissas!$B$5,1+Premissas!$B$4,$P$2)</f>
        <v>6312.44437470579</v>
      </c>
      <c r="I7" s="5" t="n">
        <f aca="false">F7*Premissas!$B$3+(D7-F7)*E7</f>
        <v>1722240</v>
      </c>
      <c r="J7" s="5" t="n">
        <f aca="false">G7*Premissas!$B$3+(D7-G7)*E7</f>
        <v>1753028.38356164</v>
      </c>
      <c r="K7" s="5" t="n">
        <f aca="false">H7*Premissas!$B$3+(D7-H7)*E7</f>
        <v>1709777.77498823</v>
      </c>
      <c r="L7" s="6" t="n">
        <f aca="false">H7/D7-1</f>
        <v>-0.0470343637219521</v>
      </c>
      <c r="M7" s="0" t="str">
        <f aca="false">IF(ABS(L7)&lt;=Premissas!$B$4+0.00001,"OK","FORA DA FLEX")</f>
        <v>OK</v>
      </c>
    </row>
    <row r="8" customFormat="false" ht="15" hidden="false" customHeight="false" outlineLevel="0" collapsed="false">
      <c r="A8" s="0" t="s">
        <v>25</v>
      </c>
      <c r="B8" s="2" t="n">
        <v>744</v>
      </c>
      <c r="C8" s="2" t="n">
        <v>9</v>
      </c>
      <c r="D8" s="5" t="n">
        <f aca="false">B8*C8</f>
        <v>6696</v>
      </c>
      <c r="E8" s="2" t="n">
        <v>300</v>
      </c>
      <c r="F8" s="5" t="n">
        <f aca="false">D8</f>
        <v>6696</v>
      </c>
      <c r="G8" s="5" t="n">
        <f aca="false">$D$14/$B$14*B8</f>
        <v>7640.16657534247</v>
      </c>
      <c r="H8" s="5" t="n">
        <f aca="false">D8*IF(E8&gt;Premissas!$B$5,1+Premissas!$B$4,$P$2)</f>
        <v>7365.6</v>
      </c>
      <c r="I8" s="5" t="n">
        <f aca="false">F8*Premissas!$B$3+(D8-F8)*E8</f>
        <v>1740960</v>
      </c>
      <c r="J8" s="5" t="n">
        <f aca="false">G8*Premissas!$B$3+(D8-G8)*E8</f>
        <v>1703193.3369863</v>
      </c>
      <c r="K8" s="5" t="n">
        <f aca="false">H8*Premissas!$B$3+(D8-H8)*E8</f>
        <v>1714176</v>
      </c>
      <c r="L8" s="6" t="n">
        <f aca="false">H8/D8-1</f>
        <v>0.1</v>
      </c>
      <c r="M8" s="0" t="str">
        <f aca="false">IF(ABS(L8)&lt;=Premissas!$B$4+0.00001,"OK","FORA DA FLEX")</f>
        <v>OK</v>
      </c>
    </row>
    <row r="9" customFormat="false" ht="15" hidden="false" customHeight="false" outlineLevel="0" collapsed="false">
      <c r="A9" s="0" t="s">
        <v>26</v>
      </c>
      <c r="B9" s="2" t="n">
        <v>744</v>
      </c>
      <c r="C9" s="2" t="n">
        <v>9.4</v>
      </c>
      <c r="D9" s="5" t="n">
        <f aca="false">B9*C9</f>
        <v>6993.6</v>
      </c>
      <c r="E9" s="2" t="n">
        <v>380</v>
      </c>
      <c r="F9" s="5" t="n">
        <f aca="false">D9</f>
        <v>6993.6</v>
      </c>
      <c r="G9" s="5" t="n">
        <f aca="false">$D$14/$B$14*B9</f>
        <v>7640.16657534247</v>
      </c>
      <c r="H9" s="5" t="n">
        <f aca="false">D9*IF(E9&gt;Premissas!$B$5,1+Premissas!$B$4,$P$2)</f>
        <v>7692.96</v>
      </c>
      <c r="I9" s="5" t="n">
        <f aca="false">F9*Premissas!$B$3+(D9-F9)*E9</f>
        <v>1818336</v>
      </c>
      <c r="J9" s="5" t="n">
        <f aca="false">G9*Premissas!$B$3+(D9-G9)*E9</f>
        <v>1740748.0109589</v>
      </c>
      <c r="K9" s="5" t="n">
        <f aca="false">H9*Premissas!$B$3+(D9-H9)*E9</f>
        <v>1734412.8</v>
      </c>
      <c r="L9" s="6" t="n">
        <f aca="false">H9/D9-1</f>
        <v>0.1</v>
      </c>
      <c r="M9" s="0" t="str">
        <f aca="false">IF(ABS(L9)&lt;=Premissas!$B$4+0.00001,"OK","FORA DA FLEX")</f>
        <v>OK</v>
      </c>
    </row>
    <row r="10" customFormat="false" ht="15" hidden="false" customHeight="false" outlineLevel="0" collapsed="false">
      <c r="A10" s="0" t="s">
        <v>27</v>
      </c>
      <c r="B10" s="2" t="n">
        <v>720</v>
      </c>
      <c r="C10" s="2" t="n">
        <v>10</v>
      </c>
      <c r="D10" s="5" t="n">
        <f aca="false">B10*C10</f>
        <v>7200</v>
      </c>
      <c r="E10" s="2" t="n">
        <v>450</v>
      </c>
      <c r="F10" s="5" t="n">
        <f aca="false">D10</f>
        <v>7200</v>
      </c>
      <c r="G10" s="5" t="n">
        <f aca="false">$D$14/$B$14*B10</f>
        <v>7393.7095890411</v>
      </c>
      <c r="H10" s="5" t="n">
        <f aca="false">D10*IF(E10&gt;Premissas!$B$5,1+Premissas!$B$4,$P$2)</f>
        <v>7920</v>
      </c>
      <c r="I10" s="5" t="n">
        <f aca="false">F10*Premissas!$B$3+(D10-F10)*E10</f>
        <v>1872000</v>
      </c>
      <c r="J10" s="5" t="n">
        <f aca="false">G10*Premissas!$B$3+(D10-G10)*E10</f>
        <v>1835195.17808219</v>
      </c>
      <c r="K10" s="5" t="n">
        <f aca="false">H10*Premissas!$B$3+(D10-H10)*E10</f>
        <v>1735200</v>
      </c>
      <c r="L10" s="6" t="n">
        <f aca="false">H10/D10-1</f>
        <v>0.1</v>
      </c>
      <c r="M10" s="0" t="str">
        <f aca="false">IF(ABS(L10)&lt;=Premissas!$B$4+0.00001,"OK","FORA DA FLEX")</f>
        <v>OK</v>
      </c>
    </row>
    <row r="11" customFormat="false" ht="15" hidden="false" customHeight="false" outlineLevel="0" collapsed="false">
      <c r="A11" s="0" t="s">
        <v>28</v>
      </c>
      <c r="B11" s="2" t="n">
        <v>744</v>
      </c>
      <c r="C11" s="2" t="n">
        <v>10.6</v>
      </c>
      <c r="D11" s="5" t="n">
        <f aca="false">B11*C11</f>
        <v>7886.4</v>
      </c>
      <c r="E11" s="2" t="n">
        <v>380</v>
      </c>
      <c r="F11" s="5" t="n">
        <f aca="false">D11</f>
        <v>7886.4</v>
      </c>
      <c r="G11" s="5" t="n">
        <f aca="false">$D$14/$B$14*B11</f>
        <v>7640.16657534247</v>
      </c>
      <c r="H11" s="5" t="n">
        <f aca="false">D11*IF(E11&gt;Premissas!$B$5,1+Premissas!$B$4,$P$2)</f>
        <v>8675.04</v>
      </c>
      <c r="I11" s="5" t="n">
        <f aca="false">F11*Premissas!$B$3+(D11-F11)*E11</f>
        <v>2050464</v>
      </c>
      <c r="J11" s="5" t="n">
        <f aca="false">G11*Premissas!$B$3+(D11-G11)*E11</f>
        <v>2080012.0109589</v>
      </c>
      <c r="K11" s="5" t="n">
        <f aca="false">H11*Premissas!$B$3+(D11-H11)*E11</f>
        <v>1955827.2</v>
      </c>
      <c r="L11" s="6" t="n">
        <f aca="false">H11/D11-1</f>
        <v>0.1</v>
      </c>
      <c r="M11" s="0" t="str">
        <f aca="false">IF(ABS(L11)&lt;=Premissas!$B$4+0.00001,"OK","FORA DA FLEX")</f>
        <v>OK</v>
      </c>
    </row>
    <row r="12" customFormat="false" ht="15" hidden="false" customHeight="false" outlineLevel="0" collapsed="false">
      <c r="A12" s="0" t="s">
        <v>29</v>
      </c>
      <c r="B12" s="2" t="n">
        <v>720</v>
      </c>
      <c r="C12" s="2" t="n">
        <v>10.9</v>
      </c>
      <c r="D12" s="5" t="n">
        <f aca="false">B12*C12</f>
        <v>7848</v>
      </c>
      <c r="E12" s="2" t="n">
        <v>250</v>
      </c>
      <c r="F12" s="5" t="n">
        <f aca="false">D12</f>
        <v>7848</v>
      </c>
      <c r="G12" s="5" t="n">
        <f aca="false">$D$14/$B$14*B12</f>
        <v>7393.7095890411</v>
      </c>
      <c r="H12" s="5" t="n">
        <f aca="false">D12*IF(E12&gt;Premissas!$B$5,1+Premissas!$B$4,$P$2)</f>
        <v>7478.87431351012</v>
      </c>
      <c r="I12" s="5" t="n">
        <f aca="false">F12*Premissas!$B$3+(D12-F12)*E12</f>
        <v>2040480</v>
      </c>
      <c r="J12" s="5" t="n">
        <f aca="false">G12*Premissas!$B$3+(D12-G12)*E12</f>
        <v>2035937.09589041</v>
      </c>
      <c r="K12" s="5" t="n">
        <f aca="false">H12*Premissas!$B$3+(D12-H12)*E12</f>
        <v>2036788.7431351</v>
      </c>
      <c r="L12" s="6" t="n">
        <f aca="false">H12/D12-1</f>
        <v>-0.0470343637219521</v>
      </c>
      <c r="M12" s="0" t="str">
        <f aca="false">IF(ABS(L12)&lt;=Premissas!$B$4+0.00001,"OK","FORA DA FLEX")</f>
        <v>OK</v>
      </c>
    </row>
    <row r="13" customFormat="false" ht="15" hidden="false" customHeight="false" outlineLevel="0" collapsed="false">
      <c r="A13" s="0" t="s">
        <v>30</v>
      </c>
      <c r="B13" s="2" t="n">
        <v>744</v>
      </c>
      <c r="C13" s="2" t="n">
        <v>11</v>
      </c>
      <c r="D13" s="5" t="n">
        <f aca="false">B13*C13</f>
        <v>8184</v>
      </c>
      <c r="E13" s="2" t="n">
        <v>140</v>
      </c>
      <c r="F13" s="5" t="n">
        <f aca="false">D13</f>
        <v>8184</v>
      </c>
      <c r="G13" s="5" t="n">
        <f aca="false">$D$14/$B$14*B13</f>
        <v>7640.16657534247</v>
      </c>
      <c r="H13" s="5" t="n">
        <f aca="false">D13*IF(E13&gt;Premissas!$B$5,1+Premissas!$B$4,$P$2)</f>
        <v>7799.07076729954</v>
      </c>
      <c r="I13" s="5" t="n">
        <f aca="false">F13*Premissas!$B$3+(D13-F13)*E13</f>
        <v>2127840</v>
      </c>
      <c r="J13" s="5" t="n">
        <f aca="false">G13*Premissas!$B$3+(D13-G13)*E13</f>
        <v>2062579.9890411</v>
      </c>
      <c r="K13" s="5" t="n">
        <f aca="false">H13*Premissas!$B$3+(D13-H13)*E13</f>
        <v>2081648.49207595</v>
      </c>
      <c r="L13" s="6" t="n">
        <f aca="false">H13/D13-1</f>
        <v>-0.0470343637219521</v>
      </c>
      <c r="M13" s="0" t="str">
        <f aca="false">IF(ABS(L13)&lt;=Premissas!$B$4+0.00001,"OK","FORA DA FLEX")</f>
        <v>OK</v>
      </c>
    </row>
    <row r="14" customFormat="false" ht="15" hidden="false" customHeight="false" outlineLevel="0" collapsed="false">
      <c r="A14" s="9" t="s">
        <v>31</v>
      </c>
      <c r="B14" s="7" t="n">
        <f aca="false">SUM(B2:B13)</f>
        <v>8760</v>
      </c>
      <c r="C14" s="7" t="n">
        <f aca="false">D14/B14</f>
        <v>10.2690410958904</v>
      </c>
      <c r="D14" s="5" t="n">
        <f aca="false">SUM(D2:D13)</f>
        <v>89956.8</v>
      </c>
      <c r="F14" s="5" t="n">
        <f aca="false">SUM(F2:F13)</f>
        <v>89956.8</v>
      </c>
      <c r="G14" s="5" t="n">
        <f aca="false">SUM(G2:G13)</f>
        <v>89956.8</v>
      </c>
      <c r="H14" s="5" t="n">
        <f aca="false">SUM(H2:H13)</f>
        <v>89956.8</v>
      </c>
      <c r="I14" s="5" t="n">
        <f aca="false">SUM(I2:I13)</f>
        <v>23388768</v>
      </c>
      <c r="J14" s="5" t="n">
        <f aca="false">SUM(J2:J13)</f>
        <v>22976449.4465753</v>
      </c>
      <c r="K14" s="5" t="n">
        <f aca="false">SUM(K2:K13)</f>
        <v>22698396.2457242</v>
      </c>
    </row>
    <row r="15" customFormat="false" ht="15" hidden="false" customHeight="false" outlineLevel="0" collapsed="false">
      <c r="A15" s="9" t="s">
        <v>32</v>
      </c>
      <c r="I15" s="5" t="n">
        <f aca="false">I14/$D$14</f>
        <v>260</v>
      </c>
      <c r="J15" s="5" t="n">
        <f aca="false">J14/$D$14</f>
        <v>255.416482651399</v>
      </c>
      <c r="K15" s="5" t="n">
        <f aca="false">K14/$D$14</f>
        <v>252.325518979378</v>
      </c>
    </row>
    <row r="16" customFormat="false" ht="15" hidden="false" customHeight="false" outlineLevel="0" collapsed="false">
      <c r="A16" s="9" t="s">
        <v>33</v>
      </c>
      <c r="J16" s="5" t="n">
        <f aca="false">I14-J14</f>
        <v>412318.553424656</v>
      </c>
      <c r="K16" s="5" t="n">
        <f aca="false">I14-K14</f>
        <v>690371.754275851</v>
      </c>
    </row>
    <row r="18" customFormat="false" ht="15" hidden="false" customHeight="false" outlineLevel="0" collapsed="false">
      <c r="A18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9" t="s">
        <v>35</v>
      </c>
    </row>
    <row r="3" customFormat="false" ht="15" hidden="false" customHeight="false" outlineLevel="0" collapsed="false">
      <c r="A3" s="10" t="s">
        <v>5</v>
      </c>
      <c r="B3" s="10" t="s">
        <v>36</v>
      </c>
      <c r="C3" s="10" t="s">
        <v>37</v>
      </c>
      <c r="D3" s="10" t="s">
        <v>38</v>
      </c>
      <c r="E3" s="10" t="s">
        <v>39</v>
      </c>
    </row>
    <row r="4" customFormat="false" ht="15" hidden="false" customHeight="false" outlineLevel="0" collapsed="false">
      <c r="A4" s="0" t="s">
        <v>18</v>
      </c>
      <c r="B4" s="0" t="n">
        <v>90</v>
      </c>
      <c r="C4" s="0" t="n">
        <v>60</v>
      </c>
      <c r="D4" s="0" t="n">
        <v>150</v>
      </c>
      <c r="E4" s="0" t="n">
        <v>140</v>
      </c>
    </row>
    <row r="5" customFormat="false" ht="15" hidden="false" customHeight="false" outlineLevel="0" collapsed="false">
      <c r="A5" s="0" t="s">
        <v>20</v>
      </c>
      <c r="B5" s="0" t="n">
        <v>80</v>
      </c>
      <c r="C5" s="0" t="n">
        <v>55</v>
      </c>
      <c r="D5" s="0" t="n">
        <v>140</v>
      </c>
      <c r="E5" s="0" t="n">
        <v>250</v>
      </c>
    </row>
    <row r="6" customFormat="false" ht="15" hidden="false" customHeight="false" outlineLevel="0" collapsed="false">
      <c r="A6" s="0" t="s">
        <v>21</v>
      </c>
      <c r="B6" s="0" t="n">
        <v>85</v>
      </c>
      <c r="C6" s="0" t="n">
        <v>60</v>
      </c>
      <c r="D6" s="0" t="n">
        <v>150</v>
      </c>
      <c r="E6" s="0" t="n">
        <v>380</v>
      </c>
    </row>
    <row r="7" customFormat="false" ht="15" hidden="false" customHeight="false" outlineLevel="0" collapsed="false">
      <c r="A7" s="0" t="s">
        <v>22</v>
      </c>
      <c r="B7" s="0" t="n">
        <v>110</v>
      </c>
      <c r="C7" s="0" t="n">
        <v>65</v>
      </c>
      <c r="D7" s="0" t="n">
        <v>200</v>
      </c>
      <c r="E7" s="0" t="n">
        <v>450</v>
      </c>
    </row>
    <row r="8" customFormat="false" ht="15" hidden="false" customHeight="false" outlineLevel="0" collapsed="false">
      <c r="A8" s="0" t="s">
        <v>23</v>
      </c>
      <c r="B8" s="0" t="n">
        <v>150</v>
      </c>
      <c r="C8" s="0" t="n">
        <v>70</v>
      </c>
      <c r="D8" s="0" t="n">
        <v>300</v>
      </c>
      <c r="E8" s="0" t="n">
        <v>380</v>
      </c>
    </row>
    <row r="9" customFormat="false" ht="15" hidden="false" customHeight="false" outlineLevel="0" collapsed="false">
      <c r="A9" s="0" t="s">
        <v>24</v>
      </c>
      <c r="B9" s="0" t="n">
        <v>220</v>
      </c>
      <c r="C9" s="0" t="n">
        <v>80</v>
      </c>
      <c r="D9" s="0" t="n">
        <v>450</v>
      </c>
      <c r="E9" s="0" t="n">
        <v>300</v>
      </c>
    </row>
    <row r="10" customFormat="false" ht="15" hidden="false" customHeight="false" outlineLevel="0" collapsed="false">
      <c r="A10" s="0" t="s">
        <v>25</v>
      </c>
      <c r="B10" s="0" t="n">
        <v>300</v>
      </c>
      <c r="C10" s="0" t="n">
        <v>90</v>
      </c>
      <c r="D10" s="0" t="n">
        <v>600</v>
      </c>
      <c r="E10" s="0" t="n">
        <v>220</v>
      </c>
    </row>
    <row r="11" customFormat="false" ht="15" hidden="false" customHeight="false" outlineLevel="0" collapsed="false">
      <c r="A11" s="0" t="s">
        <v>26</v>
      </c>
      <c r="B11" s="0" t="n">
        <v>380</v>
      </c>
      <c r="C11" s="0" t="n">
        <v>100</v>
      </c>
      <c r="D11" s="0" t="n">
        <v>700</v>
      </c>
      <c r="E11" s="0" t="n">
        <v>150</v>
      </c>
    </row>
    <row r="12" customFormat="false" ht="15" hidden="false" customHeight="false" outlineLevel="0" collapsed="false">
      <c r="A12" s="0" t="s">
        <v>27</v>
      </c>
      <c r="B12" s="0" t="n">
        <v>450</v>
      </c>
      <c r="C12" s="0" t="n">
        <v>110</v>
      </c>
      <c r="D12" s="0" t="n">
        <v>750</v>
      </c>
      <c r="E12" s="0" t="n">
        <v>110</v>
      </c>
    </row>
    <row r="13" customFormat="false" ht="15" hidden="false" customHeight="false" outlineLevel="0" collapsed="false">
      <c r="A13" s="0" t="s">
        <v>28</v>
      </c>
      <c r="B13" s="0" t="n">
        <v>380</v>
      </c>
      <c r="C13" s="0" t="n">
        <v>100</v>
      </c>
      <c r="D13" s="0" t="n">
        <v>700</v>
      </c>
      <c r="E13" s="0" t="n">
        <v>85</v>
      </c>
    </row>
    <row r="14" customFormat="false" ht="15" hidden="false" customHeight="false" outlineLevel="0" collapsed="false">
      <c r="A14" s="0" t="s">
        <v>29</v>
      </c>
      <c r="B14" s="0" t="n">
        <v>250</v>
      </c>
      <c r="C14" s="0" t="n">
        <v>80</v>
      </c>
      <c r="D14" s="0" t="n">
        <v>500</v>
      </c>
      <c r="E14" s="0" t="n">
        <v>80</v>
      </c>
    </row>
    <row r="15" customFormat="false" ht="15" hidden="false" customHeight="false" outlineLevel="0" collapsed="false">
      <c r="A15" s="0" t="s">
        <v>30</v>
      </c>
      <c r="B15" s="0" t="n">
        <v>140</v>
      </c>
      <c r="C15" s="0" t="n">
        <v>70</v>
      </c>
      <c r="D15" s="0" t="n">
        <v>300</v>
      </c>
      <c r="E15" s="0" t="n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2026-10-16T14:35:16Z</dcterms:created>
  <dc:creator>openpyxl</dc:creator>
  <dc:description/>
  <dc:language>en-US</dc:language>
  <cp:lastModifiedBy/>
  <dcterms:modified xsi:type="dcterms:W3CDTF">2026-10-16T14:35:16Z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